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University\Classes\Semester 4\Schaltungstechnik\PR\"/>
    </mc:Choice>
  </mc:AlternateContent>
  <xr:revisionPtr revIDLastSave="0" documentId="13_ncr:1_{71487C2D-DCC9-4F52-8125-6AE770D5807B}" xr6:coauthVersionLast="47" xr6:coauthVersionMax="47" xr10:uidLastSave="{00000000-0000-0000-0000-000000000000}"/>
  <bookViews>
    <workbookView xWindow="-108" yWindow="-108" windowWidth="23256" windowHeight="13896" activeTab="1" xr2:uid="{B05C816D-D426-4CA9-9ED9-830A9F4B96AF}"/>
  </bookViews>
  <sheets>
    <sheet name="Experiment 1" sheetId="1" r:id="rId1"/>
    <sheet name="Experimen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M7" i="2" s="1"/>
  <c r="N7" i="2" s="1"/>
  <c r="K3" i="2"/>
  <c r="C17" i="2"/>
  <c r="A17" i="2"/>
  <c r="F11" i="2"/>
  <c r="D11" i="2"/>
  <c r="E11" i="2" s="1"/>
  <c r="C3" i="2"/>
</calcChain>
</file>

<file path=xl/sharedStrings.xml><?xml version="1.0" encoding="utf-8"?>
<sst xmlns="http://schemas.openxmlformats.org/spreadsheetml/2006/main" count="52" uniqueCount="37">
  <si>
    <t>Mit Multimeter</t>
  </si>
  <si>
    <t>R1</t>
  </si>
  <si>
    <t>R2</t>
  </si>
  <si>
    <t>Megaohm</t>
  </si>
  <si>
    <t>Gemessener Abfall über R2 Volt</t>
  </si>
  <si>
    <t>Ube V</t>
  </si>
  <si>
    <t>Ic mA</t>
  </si>
  <si>
    <t>Ib mA</t>
  </si>
  <si>
    <t>Emitterschaltung vom vorherigen Experiment</t>
  </si>
  <si>
    <t>U_e (mV)</t>
  </si>
  <si>
    <t>U_a (mV)</t>
  </si>
  <si>
    <t>values are peak to peak</t>
  </si>
  <si>
    <t>R_ref (Ohm)</t>
  </si>
  <si>
    <t>Eingang</t>
  </si>
  <si>
    <t>A (mA)</t>
  </si>
  <si>
    <t>Uref (Vpp mV)</t>
  </si>
  <si>
    <t>Rauschen Vpp</t>
  </si>
  <si>
    <t xml:space="preserve"> mV</t>
  </si>
  <si>
    <t>U_g (mV</t>
  </si>
  <si>
    <t>Versuch 2</t>
  </si>
  <si>
    <t>R_ref</t>
  </si>
  <si>
    <t>U_gesamt</t>
  </si>
  <si>
    <t>U_eingang</t>
  </si>
  <si>
    <t>Vpp fur Spannungen</t>
  </si>
  <si>
    <t>U_ref</t>
  </si>
  <si>
    <t>I_ref</t>
  </si>
  <si>
    <t>R_e</t>
  </si>
  <si>
    <t>RE BERECHNUNG</t>
  </si>
  <si>
    <t>RA BERECHNUNG</t>
  </si>
  <si>
    <t>U_ref   (V)</t>
  </si>
  <si>
    <t>Peak to peak values</t>
  </si>
  <si>
    <t>Ua_unbelastet Vpp]</t>
  </si>
  <si>
    <t>U_a_belastet mit 200 Ohm</t>
  </si>
  <si>
    <t>Ue (V)</t>
  </si>
  <si>
    <t>Kollektorschaltung</t>
  </si>
  <si>
    <t>This is what we did when we were trying to prove that including a load would have a strong impact on the output, demonstrating a low ausgangswiderstand</t>
  </si>
  <si>
    <t>R_e Berechnung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</si>
</sst>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'Experiment 1'!$I$1</c:f>
              <c:strCache>
                <c:ptCount val="1"/>
                <c:pt idx="0">
                  <c:v>Ic 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1'!$H$2:$H$15</c:f>
              <c:numCache>
                <c:formatCode>General</c:formatCode>
                <c:ptCount val="14"/>
                <c:pt idx="0">
                  <c:v>0.48799999999999999</c:v>
                </c:pt>
                <c:pt idx="1">
                  <c:v>0.55200000000000005</c:v>
                </c:pt>
                <c:pt idx="2">
                  <c:v>0.56799999999999995</c:v>
                </c:pt>
                <c:pt idx="3">
                  <c:v>0.59199999999999997</c:v>
                </c:pt>
                <c:pt idx="4">
                  <c:v>0.6</c:v>
                </c:pt>
                <c:pt idx="5">
                  <c:v>0.60799999999999998</c:v>
                </c:pt>
                <c:pt idx="6">
                  <c:v>0.61599999999999999</c:v>
                </c:pt>
                <c:pt idx="7">
                  <c:v>0.624</c:v>
                </c:pt>
                <c:pt idx="8">
                  <c:v>0.63200000000000001</c:v>
                </c:pt>
                <c:pt idx="9">
                  <c:v>0.64</c:v>
                </c:pt>
                <c:pt idx="10">
                  <c:v>0.65600000000000003</c:v>
                </c:pt>
                <c:pt idx="11">
                  <c:v>0.66400000000000003</c:v>
                </c:pt>
                <c:pt idx="12">
                  <c:v>0.67200000000000004</c:v>
                </c:pt>
                <c:pt idx="13">
                  <c:v>0.68</c:v>
                </c:pt>
              </c:numCache>
            </c:numRef>
          </c:xVal>
          <c:yVal>
            <c:numRef>
              <c:f>'Experiment 1'!$I$2:$I$15</c:f>
              <c:numCache>
                <c:formatCode>General</c:formatCode>
                <c:ptCount val="1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0.5</c:v>
                </c:pt>
                <c:pt idx="5">
                  <c:v>0.6</c:v>
                </c:pt>
                <c:pt idx="6">
                  <c:v>0.8</c:v>
                </c:pt>
                <c:pt idx="7">
                  <c:v>1.1000000000000001</c:v>
                </c:pt>
                <c:pt idx="8">
                  <c:v>1.5</c:v>
                </c:pt>
                <c:pt idx="9">
                  <c:v>2.2000000000000002</c:v>
                </c:pt>
                <c:pt idx="10">
                  <c:v>3.8</c:v>
                </c:pt>
                <c:pt idx="11">
                  <c:v>5.6</c:v>
                </c:pt>
                <c:pt idx="12">
                  <c:v>16.7</c:v>
                </c:pt>
                <c:pt idx="13">
                  <c:v>21.3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6-470D-9E7E-BE02A132E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279679"/>
        <c:axId val="525280639"/>
      </c:scatterChart>
      <c:valAx>
        <c:axId val="52527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5280639"/>
        <c:crosses val="autoZero"/>
        <c:crossBetween val="midCat"/>
      </c:valAx>
      <c:valAx>
        <c:axId val="52528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527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'Experiment 1'!$L$1</c:f>
              <c:strCache>
                <c:ptCount val="1"/>
                <c:pt idx="0">
                  <c:v>Ic 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1'!$K$2:$K$25</c:f>
              <c:numCache>
                <c:formatCode>General</c:formatCode>
                <c:ptCount val="2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</c:numCache>
            </c:numRef>
          </c:xVal>
          <c:yVal>
            <c:numRef>
              <c:f>'Experiment 1'!$L$2:$L$25</c:f>
              <c:numCache>
                <c:formatCode>General</c:formatCode>
                <c:ptCount val="24"/>
                <c:pt idx="0">
                  <c:v>0.8</c:v>
                </c:pt>
                <c:pt idx="1">
                  <c:v>3.1</c:v>
                </c:pt>
                <c:pt idx="2">
                  <c:v>6.6</c:v>
                </c:pt>
                <c:pt idx="3">
                  <c:v>7.6</c:v>
                </c:pt>
                <c:pt idx="4">
                  <c:v>9.4</c:v>
                </c:pt>
                <c:pt idx="5">
                  <c:v>11.1</c:v>
                </c:pt>
                <c:pt idx="6">
                  <c:v>13.9</c:v>
                </c:pt>
                <c:pt idx="7">
                  <c:v>15.8</c:v>
                </c:pt>
                <c:pt idx="8">
                  <c:v>17.600000000000001</c:v>
                </c:pt>
                <c:pt idx="9">
                  <c:v>18.600000000000001</c:v>
                </c:pt>
                <c:pt idx="10">
                  <c:v>21.5</c:v>
                </c:pt>
                <c:pt idx="11">
                  <c:v>24.5</c:v>
                </c:pt>
                <c:pt idx="12">
                  <c:v>25.7</c:v>
                </c:pt>
                <c:pt idx="13">
                  <c:v>27.6</c:v>
                </c:pt>
                <c:pt idx="14">
                  <c:v>29.6</c:v>
                </c:pt>
                <c:pt idx="15">
                  <c:v>33.6</c:v>
                </c:pt>
                <c:pt idx="16">
                  <c:v>35.700000000000003</c:v>
                </c:pt>
                <c:pt idx="17">
                  <c:v>37.1</c:v>
                </c:pt>
                <c:pt idx="18">
                  <c:v>39.1</c:v>
                </c:pt>
                <c:pt idx="19">
                  <c:v>41.2</c:v>
                </c:pt>
                <c:pt idx="20">
                  <c:v>45.3</c:v>
                </c:pt>
                <c:pt idx="21">
                  <c:v>46.5</c:v>
                </c:pt>
                <c:pt idx="22">
                  <c:v>48.6</c:v>
                </c:pt>
                <c:pt idx="23">
                  <c:v>50.8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34-44DD-8211-670E3FB5E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268639"/>
        <c:axId val="525277759"/>
      </c:scatterChart>
      <c:valAx>
        <c:axId val="52526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5277759"/>
        <c:crosses val="autoZero"/>
        <c:crossBetween val="midCat"/>
      </c:valAx>
      <c:valAx>
        <c:axId val="52527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526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66262</xdr:colOff>
      <xdr:row>16</xdr:row>
      <xdr:rowOff>162339</xdr:rowOff>
    </xdr:from>
    <xdr:to>
      <xdr:col>9</xdr:col>
      <xdr:colOff>371062</xdr:colOff>
      <xdr:row>31</xdr:row>
      <xdr:rowOff>122583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81C7E5-48C9-2D26-04D3-9F4DA472D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410818</xdr:colOff>
      <xdr:row>14</xdr:row>
      <xdr:rowOff>149087</xdr:rowOff>
    </xdr:from>
    <xdr:to>
      <xdr:col>20</xdr:col>
      <xdr:colOff>106018</xdr:colOff>
      <xdr:row>29</xdr:row>
      <xdr:rowOff>109330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849F33-B56C-FACB-76E3-F3571E981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5D08-7A34-4033-B802-72299B2E11F4}">
  <dimension ref="A1:L25"/>
  <sheetViews>
    <sheetView zoomScale="119" zoomScaleNormal="115" workbookViewId="0">
      <selection activeCell="K14" sqref="K14"/>
    </sheetView>
  </sheetViews>
  <sheetFormatPr defaultRowHeight="14.4" x14ac:dyDescent="0.3"/>
  <sheetData>
    <row r="1" spans="1:12" x14ac:dyDescent="0.3">
      <c r="A1" t="s">
        <v>0</v>
      </c>
      <c r="B1" t="s">
        <v>3</v>
      </c>
      <c r="D1" t="s">
        <v>4</v>
      </c>
      <c r="H1" t="s">
        <v>5</v>
      </c>
      <c r="I1" t="s">
        <v>6</v>
      </c>
      <c r="K1" t="s">
        <v>7</v>
      </c>
      <c r="L1" t="s">
        <v>6</v>
      </c>
    </row>
    <row r="2" spans="1:12" x14ac:dyDescent="0.3">
      <c r="A2" t="s">
        <v>1</v>
      </c>
      <c r="B2">
        <v>3.2280000000000002</v>
      </c>
      <c r="D2">
        <v>2.23</v>
      </c>
      <c r="H2">
        <v>0.48799999999999999</v>
      </c>
      <c r="I2">
        <v>0</v>
      </c>
      <c r="K2">
        <v>0.01</v>
      </c>
      <c r="L2">
        <v>0.8</v>
      </c>
    </row>
    <row r="3" spans="1:12" x14ac:dyDescent="0.3">
      <c r="A3" t="s">
        <v>2</v>
      </c>
      <c r="B3">
        <v>3.2050000000000001</v>
      </c>
      <c r="H3">
        <v>0.55200000000000005</v>
      </c>
      <c r="I3">
        <v>0.1</v>
      </c>
      <c r="K3">
        <v>0.02</v>
      </c>
      <c r="L3">
        <v>3.1</v>
      </c>
    </row>
    <row r="4" spans="1:12" x14ac:dyDescent="0.3">
      <c r="H4">
        <v>0.56799999999999995</v>
      </c>
      <c r="I4">
        <v>0.2</v>
      </c>
      <c r="K4">
        <v>0.03</v>
      </c>
      <c r="L4">
        <v>6.6</v>
      </c>
    </row>
    <row r="5" spans="1:12" x14ac:dyDescent="0.3">
      <c r="H5">
        <v>0.59199999999999997</v>
      </c>
      <c r="I5">
        <v>0.3</v>
      </c>
      <c r="K5">
        <v>0.04</v>
      </c>
      <c r="L5">
        <v>7.6</v>
      </c>
    </row>
    <row r="6" spans="1:12" x14ac:dyDescent="0.3">
      <c r="H6">
        <v>0.6</v>
      </c>
      <c r="I6">
        <v>0.5</v>
      </c>
      <c r="K6">
        <v>0.05</v>
      </c>
      <c r="L6">
        <v>9.4</v>
      </c>
    </row>
    <row r="7" spans="1:12" x14ac:dyDescent="0.3">
      <c r="H7">
        <v>0.60799999999999998</v>
      </c>
      <c r="I7">
        <v>0.6</v>
      </c>
      <c r="K7">
        <v>0.06</v>
      </c>
      <c r="L7">
        <v>11.1</v>
      </c>
    </row>
    <row r="8" spans="1:12" x14ac:dyDescent="0.3">
      <c r="H8">
        <v>0.61599999999999999</v>
      </c>
      <c r="I8">
        <v>0.8</v>
      </c>
      <c r="K8">
        <v>7.0000000000000007E-2</v>
      </c>
      <c r="L8">
        <v>13.9</v>
      </c>
    </row>
    <row r="9" spans="1:12" x14ac:dyDescent="0.3">
      <c r="H9">
        <v>0.624</v>
      </c>
      <c r="I9">
        <v>1.1000000000000001</v>
      </c>
      <c r="K9">
        <v>0.08</v>
      </c>
      <c r="L9">
        <v>15.8</v>
      </c>
    </row>
    <row r="10" spans="1:12" x14ac:dyDescent="0.3">
      <c r="H10">
        <v>0.63200000000000001</v>
      </c>
      <c r="I10">
        <v>1.5</v>
      </c>
      <c r="K10">
        <v>0.09</v>
      </c>
      <c r="L10">
        <v>17.600000000000001</v>
      </c>
    </row>
    <row r="11" spans="1:12" x14ac:dyDescent="0.3">
      <c r="H11">
        <v>0.64</v>
      </c>
      <c r="I11">
        <v>2.2000000000000002</v>
      </c>
      <c r="K11">
        <v>0.1</v>
      </c>
      <c r="L11">
        <v>18.600000000000001</v>
      </c>
    </row>
    <row r="12" spans="1:12" x14ac:dyDescent="0.3">
      <c r="H12">
        <v>0.65600000000000003</v>
      </c>
      <c r="I12">
        <v>3.8</v>
      </c>
      <c r="K12">
        <v>0.11</v>
      </c>
      <c r="L12">
        <v>21.5</v>
      </c>
    </row>
    <row r="13" spans="1:12" x14ac:dyDescent="0.3">
      <c r="H13">
        <v>0.66400000000000003</v>
      </c>
      <c r="I13">
        <v>5.6</v>
      </c>
      <c r="K13">
        <v>0.12</v>
      </c>
      <c r="L13">
        <v>24.5</v>
      </c>
    </row>
    <row r="14" spans="1:12" x14ac:dyDescent="0.3">
      <c r="H14">
        <v>0.67200000000000004</v>
      </c>
      <c r="I14">
        <v>16.7</v>
      </c>
      <c r="K14">
        <v>0.13</v>
      </c>
      <c r="L14">
        <v>25.7</v>
      </c>
    </row>
    <row r="15" spans="1:12" x14ac:dyDescent="0.3">
      <c r="H15">
        <v>0.68</v>
      </c>
      <c r="I15">
        <v>21.3</v>
      </c>
      <c r="K15">
        <v>0.14000000000000001</v>
      </c>
      <c r="L15">
        <v>27.6</v>
      </c>
    </row>
    <row r="16" spans="1:12" x14ac:dyDescent="0.3">
      <c r="K16">
        <v>0.15</v>
      </c>
      <c r="L16">
        <v>29.6</v>
      </c>
    </row>
    <row r="17" spans="11:12" x14ac:dyDescent="0.3">
      <c r="K17">
        <v>0.16</v>
      </c>
      <c r="L17">
        <v>33.6</v>
      </c>
    </row>
    <row r="18" spans="11:12" x14ac:dyDescent="0.3">
      <c r="K18">
        <v>0.17</v>
      </c>
      <c r="L18">
        <v>35.700000000000003</v>
      </c>
    </row>
    <row r="19" spans="11:12" x14ac:dyDescent="0.3">
      <c r="K19">
        <v>0.18</v>
      </c>
      <c r="L19">
        <v>37.1</v>
      </c>
    </row>
    <row r="20" spans="11:12" x14ac:dyDescent="0.3">
      <c r="K20">
        <v>0.19</v>
      </c>
      <c r="L20">
        <v>39.1</v>
      </c>
    </row>
    <row r="21" spans="11:12" x14ac:dyDescent="0.3">
      <c r="K21">
        <v>0.2</v>
      </c>
      <c r="L21">
        <v>41.2</v>
      </c>
    </row>
    <row r="22" spans="11:12" x14ac:dyDescent="0.3">
      <c r="K22">
        <v>0.21</v>
      </c>
      <c r="L22">
        <v>45.3</v>
      </c>
    </row>
    <row r="23" spans="11:12" x14ac:dyDescent="0.3">
      <c r="K23">
        <v>0.22</v>
      </c>
      <c r="L23">
        <v>46.5</v>
      </c>
    </row>
    <row r="24" spans="11:12" x14ac:dyDescent="0.3">
      <c r="K24">
        <v>0.23</v>
      </c>
      <c r="L24">
        <v>48.6</v>
      </c>
    </row>
    <row r="25" spans="11:12" x14ac:dyDescent="0.3">
      <c r="K25">
        <v>0.24</v>
      </c>
      <c r="L25">
        <v>50.8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98C4-9E1F-4187-A606-8EEDB78897CE}">
  <dimension ref="A1:N21"/>
  <sheetViews>
    <sheetView tabSelected="1" zoomScale="105" workbookViewId="0">
      <selection activeCell="I4" sqref="I4"/>
    </sheetView>
  </sheetViews>
  <sheetFormatPr defaultRowHeight="14.4" x14ac:dyDescent="0.3"/>
  <sheetData>
    <row r="1" spans="1:14" x14ac:dyDescent="0.3">
      <c r="A1" t="s">
        <v>8</v>
      </c>
      <c r="I1" t="s">
        <v>34</v>
      </c>
    </row>
    <row r="2" spans="1:14" x14ac:dyDescent="0.3">
      <c r="A2" t="s">
        <v>9</v>
      </c>
      <c r="B2" t="s">
        <v>10</v>
      </c>
      <c r="C2" t="s">
        <v>14</v>
      </c>
      <c r="D2" t="s">
        <v>11</v>
      </c>
      <c r="I2" t="s">
        <v>9</v>
      </c>
      <c r="J2" t="s">
        <v>10</v>
      </c>
      <c r="L2" t="s">
        <v>11</v>
      </c>
    </row>
    <row r="3" spans="1:14" x14ac:dyDescent="0.3">
      <c r="A3">
        <v>24</v>
      </c>
      <c r="B3">
        <v>525</v>
      </c>
      <c r="C3">
        <f>B3/A3</f>
        <v>21.875</v>
      </c>
      <c r="I3">
        <v>104</v>
      </c>
      <c r="J3">
        <v>102</v>
      </c>
      <c r="K3">
        <f>J3/I3</f>
        <v>0.98076923076923073</v>
      </c>
    </row>
    <row r="4" spans="1:14" x14ac:dyDescent="0.3">
      <c r="A4" s="1" t="s">
        <v>13</v>
      </c>
      <c r="B4" s="1"/>
      <c r="C4" s="1"/>
      <c r="D4" s="1"/>
      <c r="E4" s="1"/>
      <c r="F4" s="1"/>
    </row>
    <row r="5" spans="1:14" x14ac:dyDescent="0.3">
      <c r="A5" s="1" t="s">
        <v>12</v>
      </c>
      <c r="B5" s="1" t="s">
        <v>15</v>
      </c>
      <c r="C5" s="1" t="s">
        <v>18</v>
      </c>
      <c r="D5" s="1"/>
      <c r="E5" s="1" t="s">
        <v>16</v>
      </c>
      <c r="F5" s="1" t="s">
        <v>17</v>
      </c>
      <c r="I5" t="s">
        <v>36</v>
      </c>
    </row>
    <row r="6" spans="1:14" x14ac:dyDescent="0.3">
      <c r="A6" s="1">
        <v>9780</v>
      </c>
      <c r="B6" s="1">
        <v>35.200000000000003</v>
      </c>
      <c r="C6" s="1">
        <v>24.4</v>
      </c>
      <c r="D6" s="1"/>
      <c r="E6" s="1">
        <v>12</v>
      </c>
      <c r="F6" s="1"/>
      <c r="I6" t="s">
        <v>20</v>
      </c>
      <c r="J6" t="s">
        <v>21</v>
      </c>
      <c r="K6" t="s">
        <v>22</v>
      </c>
      <c r="L6" t="s">
        <v>24</v>
      </c>
      <c r="M6" t="s">
        <v>25</v>
      </c>
      <c r="N6" t="s">
        <v>26</v>
      </c>
    </row>
    <row r="7" spans="1:14" x14ac:dyDescent="0.3">
      <c r="I7">
        <v>9780</v>
      </c>
      <c r="J7">
        <v>0.106</v>
      </c>
      <c r="K7">
        <v>2.4E-2</v>
      </c>
      <c r="L7">
        <f>J7-K7</f>
        <v>8.199999999999999E-2</v>
      </c>
      <c r="M7">
        <f>L7/I7</f>
        <v>8.3844580777096105E-6</v>
      </c>
      <c r="N7">
        <f>K7/M7</f>
        <v>2862.4390243902444</v>
      </c>
    </row>
    <row r="8" spans="1:14" x14ac:dyDescent="0.3">
      <c r="A8" t="s">
        <v>27</v>
      </c>
    </row>
    <row r="9" spans="1:14" x14ac:dyDescent="0.3">
      <c r="A9" t="s">
        <v>19</v>
      </c>
      <c r="B9" t="s">
        <v>23</v>
      </c>
    </row>
    <row r="10" spans="1:14" x14ac:dyDescent="0.3">
      <c r="A10" t="s">
        <v>20</v>
      </c>
      <c r="B10" t="s">
        <v>21</v>
      </c>
      <c r="C10" t="s">
        <v>22</v>
      </c>
      <c r="D10" t="s">
        <v>24</v>
      </c>
      <c r="E10" t="s">
        <v>25</v>
      </c>
      <c r="F10" t="s">
        <v>26</v>
      </c>
    </row>
    <row r="11" spans="1:14" x14ac:dyDescent="0.3">
      <c r="A11">
        <v>9780</v>
      </c>
      <c r="B11">
        <v>0.104</v>
      </c>
      <c r="C11">
        <v>1.0800000000000001E-2</v>
      </c>
      <c r="D11">
        <f>B11-C11</f>
        <v>9.3199999999999991E-2</v>
      </c>
      <c r="E11">
        <f>D11/A11</f>
        <v>9.5296523517382409E-6</v>
      </c>
      <c r="F11">
        <f>C11/E11</f>
        <v>1133.3047210300431</v>
      </c>
      <c r="I11" t="s">
        <v>31</v>
      </c>
      <c r="J11" t="s">
        <v>32</v>
      </c>
      <c r="K11" t="s">
        <v>33</v>
      </c>
    </row>
    <row r="12" spans="1:14" x14ac:dyDescent="0.3">
      <c r="I12">
        <v>0.104</v>
      </c>
      <c r="J12">
        <v>0.10199999999999999</v>
      </c>
      <c r="K12">
        <v>0.1</v>
      </c>
    </row>
    <row r="15" spans="1:14" x14ac:dyDescent="0.3">
      <c r="A15" s="1" t="s">
        <v>28</v>
      </c>
      <c r="B15" s="1"/>
      <c r="C15" s="1" t="s">
        <v>30</v>
      </c>
      <c r="D15" s="1"/>
    </row>
    <row r="16" spans="1:14" x14ac:dyDescent="0.3">
      <c r="A16" s="1" t="s">
        <v>20</v>
      </c>
      <c r="B16" s="1" t="s">
        <v>29</v>
      </c>
      <c r="C16" s="1" t="s">
        <v>25</v>
      </c>
      <c r="D16" s="1"/>
    </row>
    <row r="17" spans="1:5" x14ac:dyDescent="0.3">
      <c r="A17" s="1">
        <f>A11</f>
        <v>9780</v>
      </c>
      <c r="B17" s="1">
        <v>2.3199999999999998</v>
      </c>
      <c r="C17" s="1">
        <f>B17/A17</f>
        <v>2.3721881390593045E-4</v>
      </c>
      <c r="D17" s="1"/>
    </row>
    <row r="20" spans="1:5" x14ac:dyDescent="0.3">
      <c r="A20" t="s">
        <v>31</v>
      </c>
      <c r="B20" t="s">
        <v>32</v>
      </c>
      <c r="C20" t="s">
        <v>33</v>
      </c>
      <c r="E20" t="s">
        <v>35</v>
      </c>
    </row>
    <row r="21" spans="1:5" x14ac:dyDescent="0.3">
      <c r="A21">
        <v>2.4</v>
      </c>
      <c r="B21">
        <v>1</v>
      </c>
      <c r="C2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 1</vt:lpstr>
      <vt:lpstr>Experiment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Gonci</dc:creator>
  <cp:lastModifiedBy>Kevin Gonci</cp:lastModifiedBy>
  <dcterms:created xsi:type="dcterms:W3CDTF">2026-03-23T13:04:41Z</dcterms:created>
  <dcterms:modified xsi:type="dcterms:W3CDTF">2026-04-27T14:54:31Z</dcterms:modified>
</cp:coreProperties>
</file>